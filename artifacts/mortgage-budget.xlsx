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Profiles" sheetId="4" state="visible" r:id="rId4"/>
    <sheet name="Scenarios" sheetId="5" state="visible" r:id="rId5"/>
    <sheet name="Additional costs" sheetId="6" state="visible" r:id="rId6"/>
    <sheet name="Pricing" sheetId="7" state="visible" r:id="rId7"/>
    <sheet name="Read me" sheetId="8" state="visible" r:id="rId8"/>
  </sheets>
  <definedNames>
    <definedName name="_xlnm._FilterDatabase" localSheetId="0" hidden="1">'Summary'!$A$1:$H$4</definedName>
    <definedName name="_xlnm._FilterDatabase" localSheetId="1" hidden="1">'Calculations'!$A$1:$Y$10</definedName>
    <definedName name="_xlnm._FilterDatabase" localSheetId="2" hidden="1">'Agents'!$A$1:$K$4</definedName>
    <definedName name="_xlnm._FilterDatabase" localSheetId="3" hidden="1">'Profiles'!$A$1:$H$4</definedName>
    <definedName name="_xlnm._FilterDatabase" localSheetId="4" hidden="1">'Scenarios'!$A$1:$G$4</definedName>
    <definedName name="_xlnm._FilterDatabase" localSheetId="5" hidden="1">'Additional costs'!$A$1:$E$3</definedName>
    <definedName name="_xlnm._FilterDatabase" localSheetId="6" hidden="1">'Pricing'!$A$1:$K$2</definedName>
    <definedName name="_xlnm._FilterDatabase" localSheetId="7" hidden="1">'Read me'!$A$1:$B$12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SUM(Calculations!X2:X4)</f>
        <v/>
      </c>
      <c r="C2" s="2" t="n">
        <v>25</v>
      </c>
      <c r="D2" s="2">
        <f>B2+C2</f>
        <v/>
      </c>
      <c r="E2" s="2" t="n">
        <v>100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SUM(Calculations!X5:X7)</f>
        <v/>
      </c>
      <c r="C3" s="2" t="n">
        <v>25</v>
      </c>
      <c r="D3" s="2">
        <f>B3+C3</f>
        <v/>
      </c>
      <c r="E3" s="2" t="n">
        <v>100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SUM(Calculations!X8:X10)</f>
        <v/>
      </c>
      <c r="C4" s="2" t="n">
        <v>25</v>
      </c>
      <c r="D4" s="2">
        <f>B4+C4</f>
        <v/>
      </c>
      <c r="E4" s="2" t="n">
        <v>100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26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Invocations/agent/month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</row>
    <row r="2">
      <c r="A2" t="inlineStr">
        <is>
          <t>Low</t>
        </is>
      </c>
      <c r="B2" t="inlineStr">
        <is>
          <t>Simple agents</t>
        </is>
      </c>
      <c r="C2" t="inlineStr">
        <is>
          <t>Aggregate</t>
        </is>
      </c>
      <c r="D2" t="inlineStr">
        <is>
          <t>Fixture A</t>
        </is>
      </c>
      <c r="E2" s="2" t="n">
        <v>2</v>
      </c>
      <c r="F2" s="2" t="n">
        <v>1000</v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</v>
      </c>
      <c r="L2" s="2" t="n">
        <v>0</v>
      </c>
      <c r="M2" s="2" t="n">
        <v>2</v>
      </c>
      <c r="N2" s="2" t="n">
        <v>8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</row>
    <row r="3">
      <c r="A3" t="inlineStr">
        <is>
          <t>Low</t>
        </is>
      </c>
      <c r="B3" t="inlineStr">
        <is>
          <t>Medium agents</t>
        </is>
      </c>
      <c r="C3" t="inlineStr">
        <is>
          <t>Aggregate</t>
        </is>
      </c>
      <c r="D3" t="inlineStr"/>
      <c r="E3" s="2" t="n">
        <v>0</v>
      </c>
      <c r="F3" s="2" t="n">
        <v>1000</v>
      </c>
      <c r="G3" s="2" t="n">
        <v>4</v>
      </c>
      <c r="H3" s="2" t="n">
        <v>0.05</v>
      </c>
      <c r="I3" s="2" t="n">
        <v>4500</v>
      </c>
      <c r="J3" s="2" t="n">
        <v>750</v>
      </c>
      <c r="K3" s="2" t="n">
        <v>0</v>
      </c>
      <c r="L3" s="2" t="n">
        <v>0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</row>
    <row r="4">
      <c r="A4" t="inlineStr">
        <is>
          <t>Low</t>
        </is>
      </c>
      <c r="B4" t="inlineStr">
        <is>
          <t>High agents</t>
        </is>
      </c>
      <c r="C4" t="inlineStr">
        <is>
          <t>Aggregate</t>
        </is>
      </c>
      <c r="D4" t="inlineStr"/>
      <c r="E4" s="2" t="n">
        <v>0</v>
      </c>
      <c r="F4" s="2" t="n">
        <v>1000</v>
      </c>
      <c r="G4" s="2" t="n">
        <v>10</v>
      </c>
      <c r="H4" s="2" t="n">
        <v>0.1</v>
      </c>
      <c r="I4" s="2" t="n">
        <v>11250</v>
      </c>
      <c r="J4" s="2" t="n">
        <v>1500</v>
      </c>
      <c r="K4" s="2" t="n">
        <v>0</v>
      </c>
      <c r="L4" s="2" t="n">
        <v>0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</row>
    <row r="5">
      <c r="A5" t="inlineStr">
        <is>
          <t>Expected</t>
        </is>
      </c>
      <c r="B5" t="inlineStr">
        <is>
          <t>Simple agents</t>
        </is>
      </c>
      <c r="C5" t="inlineStr">
        <is>
          <t>Aggregate</t>
        </is>
      </c>
      <c r="D5" t="inlineStr">
        <is>
          <t>Fixture A</t>
        </is>
      </c>
      <c r="E5" s="2" t="n">
        <v>2</v>
      </c>
      <c r="F5" s="2" t="n">
        <v>1000</v>
      </c>
      <c r="G5" s="2" t="n">
        <v>1</v>
      </c>
      <c r="H5" s="2" t="n">
        <v>0.02</v>
      </c>
      <c r="I5" s="2" t="n">
        <v>2000</v>
      </c>
      <c r="J5" s="2" t="n">
        <v>500</v>
      </c>
      <c r="K5" s="2" t="n">
        <v>0</v>
      </c>
      <c r="L5" s="2" t="n">
        <v>0</v>
      </c>
      <c r="M5" s="2" t="n">
        <v>2</v>
      </c>
      <c r="N5" s="2" t="n">
        <v>8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</row>
    <row r="6">
      <c r="A6" t="inlineStr">
        <is>
          <t>Expected</t>
        </is>
      </c>
      <c r="B6" t="inlineStr">
        <is>
          <t>Medium agents</t>
        </is>
      </c>
      <c r="C6" t="inlineStr">
        <is>
          <t>Aggregate</t>
        </is>
      </c>
      <c r="D6" t="inlineStr"/>
      <c r="E6" s="2" t="n">
        <v>0</v>
      </c>
      <c r="F6" s="2" t="n">
        <v>1000</v>
      </c>
      <c r="G6" s="2" t="n">
        <v>4</v>
      </c>
      <c r="H6" s="2" t="n">
        <v>0.05</v>
      </c>
      <c r="I6" s="2" t="n">
        <v>6000</v>
      </c>
      <c r="J6" s="2" t="n">
        <v>1000</v>
      </c>
      <c r="K6" s="2" t="n">
        <v>0</v>
      </c>
      <c r="L6" s="2" t="n">
        <v>0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</row>
    <row r="7">
      <c r="A7" t="inlineStr">
        <is>
          <t>Expected</t>
        </is>
      </c>
      <c r="B7" t="inlineStr">
        <is>
          <t>High agents</t>
        </is>
      </c>
      <c r="C7" t="inlineStr">
        <is>
          <t>Aggregate</t>
        </is>
      </c>
      <c r="D7" t="inlineStr"/>
      <c r="E7" s="2" t="n">
        <v>0</v>
      </c>
      <c r="F7" s="2" t="n">
        <v>1000</v>
      </c>
      <c r="G7" s="2" t="n">
        <v>10</v>
      </c>
      <c r="H7" s="2" t="n">
        <v>0.1</v>
      </c>
      <c r="I7" s="2" t="n">
        <v>15000</v>
      </c>
      <c r="J7" s="2" t="n">
        <v>2000</v>
      </c>
      <c r="K7" s="2" t="n">
        <v>0</v>
      </c>
      <c r="L7" s="2" t="n">
        <v>0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</row>
    <row r="8">
      <c r="A8" t="inlineStr">
        <is>
          <t>High</t>
        </is>
      </c>
      <c r="B8" t="inlineStr">
        <is>
          <t>Simple agents</t>
        </is>
      </c>
      <c r="C8" t="inlineStr">
        <is>
          <t>Aggregate</t>
        </is>
      </c>
      <c r="D8" t="inlineStr">
        <is>
          <t>Fixture A</t>
        </is>
      </c>
      <c r="E8" s="2" t="n">
        <v>2</v>
      </c>
      <c r="F8" s="2" t="n">
        <v>1000</v>
      </c>
      <c r="G8" s="2" t="n">
        <v>1</v>
      </c>
      <c r="H8" s="2" t="n">
        <v>0.02</v>
      </c>
      <c r="I8" s="2" t="n">
        <v>3000</v>
      </c>
      <c r="J8" s="2" t="n">
        <v>750</v>
      </c>
      <c r="K8" s="2" t="n">
        <v>0</v>
      </c>
      <c r="L8" s="2" t="n">
        <v>0</v>
      </c>
      <c r="M8" s="2" t="n">
        <v>2</v>
      </c>
      <c r="N8" s="2" t="n">
        <v>8</v>
      </c>
      <c r="Q8" s="2">
        <f>E8*F8*G8*(1+H8)</f>
        <v/>
      </c>
      <c r="R8" s="2">
        <f>Q8*I8</f>
        <v/>
      </c>
      <c r="S8" s="2">
        <f>Q8*J8</f>
        <v/>
      </c>
      <c r="T8" s="2">
        <f>R8*(1-K8-L8)*M8/1000000</f>
        <v/>
      </c>
      <c r="U8" s="2">
        <f>S8*N8/1000000</f>
        <v/>
      </c>
      <c r="V8" s="2">
        <f>R8*K8*O8/1000000</f>
        <v/>
      </c>
      <c r="W8" s="2">
        <f>R8*L8*P8/1000000</f>
        <v/>
      </c>
      <c r="X8" s="2">
        <f>SUM(T8:W8)</f>
        <v/>
      </c>
      <c r="Y8" t="inlineStr">
        <is>
          <t>Complete</t>
        </is>
      </c>
    </row>
    <row r="9">
      <c r="A9" t="inlineStr">
        <is>
          <t>High</t>
        </is>
      </c>
      <c r="B9" t="inlineStr">
        <is>
          <t>Medium agents</t>
        </is>
      </c>
      <c r="C9" t="inlineStr">
        <is>
          <t>Aggregate</t>
        </is>
      </c>
      <c r="D9" t="inlineStr"/>
      <c r="E9" s="2" t="n">
        <v>0</v>
      </c>
      <c r="F9" s="2" t="n">
        <v>1000</v>
      </c>
      <c r="G9" s="2" t="n">
        <v>4</v>
      </c>
      <c r="H9" s="2" t="n">
        <v>0.05</v>
      </c>
      <c r="I9" s="2" t="n">
        <v>9000</v>
      </c>
      <c r="J9" s="2" t="n">
        <v>1500</v>
      </c>
      <c r="K9" s="2" t="n">
        <v>0</v>
      </c>
      <c r="L9" s="2" t="n">
        <v>0</v>
      </c>
      <c r="Q9" s="2">
        <f>E9*F9*G9*(1+H9)</f>
        <v/>
      </c>
      <c r="R9" s="2">
        <f>Q9*I9</f>
        <v/>
      </c>
      <c r="S9" s="2">
        <f>Q9*J9</f>
        <v/>
      </c>
      <c r="T9" s="2">
        <f>R9*(1-K9-L9)*M9/1000000</f>
        <v/>
      </c>
      <c r="U9" s="2">
        <f>S9*N9/1000000</f>
        <v/>
      </c>
      <c r="V9" s="2">
        <f>R9*K9*O9/1000000</f>
        <v/>
      </c>
      <c r="W9" s="2">
        <f>R9*L9*P9/1000000</f>
        <v/>
      </c>
      <c r="X9" s="2">
        <f>SUM(T9:W9)</f>
        <v/>
      </c>
      <c r="Y9" t="inlineStr">
        <is>
          <t>Complete</t>
        </is>
      </c>
    </row>
    <row r="10">
      <c r="A10" t="inlineStr">
        <is>
          <t>High</t>
        </is>
      </c>
      <c r="B10" t="inlineStr">
        <is>
          <t>High agents</t>
        </is>
      </c>
      <c r="C10" t="inlineStr">
        <is>
          <t>Aggregate</t>
        </is>
      </c>
      <c r="D10" t="inlineStr"/>
      <c r="E10" s="2" t="n">
        <v>0</v>
      </c>
      <c r="F10" s="2" t="n">
        <v>1000</v>
      </c>
      <c r="G10" s="2" t="n">
        <v>10</v>
      </c>
      <c r="H10" s="2" t="n">
        <v>0.1</v>
      </c>
      <c r="I10" s="2" t="n">
        <v>22500</v>
      </c>
      <c r="J10" s="2" t="n">
        <v>3000</v>
      </c>
      <c r="K10" s="2" t="n">
        <v>0</v>
      </c>
      <c r="L10" s="2" t="n">
        <v>0</v>
      </c>
      <c r="Q10" s="2">
        <f>E10*F10*G10*(1+H10)</f>
        <v/>
      </c>
      <c r="R10" s="2">
        <f>Q10*I10</f>
        <v/>
      </c>
      <c r="S10" s="2">
        <f>Q10*J10</f>
        <v/>
      </c>
      <c r="T10" s="2">
        <f>R10*(1-K10-L10)*M10/1000000</f>
        <v/>
      </c>
      <c r="U10" s="2">
        <f>S10*N10/1000000</f>
        <v/>
      </c>
      <c r="V10" s="2">
        <f>R10*K10*O10/1000000</f>
        <v/>
      </c>
      <c r="W10" s="2">
        <f>R10*L10*P10/1000000</f>
        <v/>
      </c>
      <c r="X10" s="2">
        <f>SUM(T10:W10)</f>
        <v/>
      </c>
      <c r="Y10" t="inlineStr">
        <is>
          <t>Complete</t>
        </is>
      </c>
    </row>
  </sheetData>
  <autoFilter ref="A1:Y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s="2" t="n">
        <v>1000</v>
      </c>
      <c r="E2" t="inlineStr"/>
      <c r="F2" t="inlineStr"/>
      <c r="G2" t="inlineStr"/>
      <c r="H2" t="inlineStr"/>
      <c r="I2" t="inlineStr"/>
      <c r="J2" t="inlineStr"/>
      <c r="K2" t="inlineStr"/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s="2" t="n">
        <v>1000</v>
      </c>
      <c r="E3" t="inlineStr"/>
      <c r="F3" t="inlineStr"/>
      <c r="G3" t="inlineStr"/>
      <c r="H3" t="inlineStr"/>
      <c r="I3" t="inlineStr"/>
      <c r="J3" t="inlineStr"/>
      <c r="K3" t="inlineStr"/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s="2" t="n">
        <v>1000</v>
      </c>
      <c r="E4" t="inlineStr"/>
      <c r="F4" t="inlineStr"/>
      <c r="G4" t="inlineStr"/>
      <c r="H4" t="inlineStr"/>
      <c r="I4" t="inlineStr"/>
      <c r="J4" t="inlineStr"/>
      <c r="K4" t="inlineStr"/>
    </row>
  </sheetData>
  <autoFilter ref="A1:K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</t>
        </is>
      </c>
      <c r="G2" t="inlineStr">
        <is>
          <t>0</t>
        </is>
      </c>
      <c r="H2" t="inlineStr">
        <is>
          <t>Fixture A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id</t>
        </is>
      </c>
      <c r="B1" s="1" t="inlineStr">
        <is>
          <t>name</t>
        </is>
      </c>
      <c r="C1" s="1" t="inlineStr">
        <is>
          <t>amount</t>
        </is>
      </c>
      <c r="D1" s="1" t="inlineStr">
        <is>
          <t>quantity</t>
        </is>
      </c>
      <c r="E1" s="1" t="inlineStr">
        <is>
          <t>frequency</t>
        </is>
      </c>
    </row>
    <row r="2">
      <c r="A2" t="inlineStr">
        <is>
          <t>3a025782-4666-472c-a542-34ef1803f2ce</t>
        </is>
      </c>
      <c r="B2" t="inlineStr">
        <is>
          <t>Storage</t>
        </is>
      </c>
      <c r="C2" t="inlineStr">
        <is>
          <t>25</t>
        </is>
      </c>
      <c r="D2" t="inlineStr">
        <is>
          <t>1</t>
        </is>
      </c>
      <c r="E2" t="inlineStr">
        <is>
          <t>monthly</t>
        </is>
      </c>
    </row>
    <row r="3">
      <c r="A3" t="inlineStr">
        <is>
          <t>42a064ea-b8ab-4b07-8147-f9a9b14e2075</t>
        </is>
      </c>
      <c r="B3" t="inlineStr">
        <is>
          <t>Setup</t>
        </is>
      </c>
      <c r="C3" t="inlineStr">
        <is>
          <t>100</t>
        </is>
      </c>
      <c r="D3" t="inlineStr">
        <is>
          <t>1</t>
        </is>
      </c>
      <c r="E3" t="inlineStr">
        <is>
          <t>one-time</t>
        </is>
      </c>
    </row>
  </sheetData>
  <autoFilter ref="A1:E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Fixture A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2026-09-25T21:24:19.328Z</t>
        </is>
      </c>
      <c r="I2" s="2" t="b">
        <v>1</v>
      </c>
      <c r="J2" t="inlineStr"/>
      <c r="K2" t="inlineStr"/>
    </row>
  </sheetData>
  <autoFilter ref="A1:K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Mortgage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Profiles, Scenarios, Agents and Pricing document the snapshot; editing those sheets does not propagate to Calculations.</t>
        </is>
      </c>
    </row>
    <row r="6">
      <c r="A6" t="inlineStr">
        <is>
          <t>Tier rates</t>
        </is>
      </c>
      <c r="B6" t="inlineStr">
        <is>
          <t>Rates in Calculations are selected using the exported per-call input size. After crossing a tier threshold, update the applicable rates from Pricing or re-export from the app.</t>
        </is>
      </c>
    </row>
    <row r="7">
      <c r="A7" t="inlineStr">
        <is>
          <t>Partial totals</t>
        </is>
      </c>
      <c r="B7" t="inlineStr">
        <is>
          <t>Incomplete rows have blank costs; summaries are known subtotals, not full budgets.</t>
        </is>
      </c>
    </row>
    <row r="8">
      <c r="A8" t="inlineStr">
        <is>
          <t>Annualization</t>
        </is>
      </c>
      <c r="B8" t="inlineStr">
        <is>
          <t>First year = 12 identical recurring months + one-time items. Additional monthly/one-time values in Summary are editable frozen inputs.</t>
        </is>
      </c>
    </row>
    <row r="9">
      <c r="A9" t="inlineStr">
        <is>
          <t>Scope</t>
        </is>
      </c>
      <c r="B9" t="inlineStr">
        <is>
          <t>Text tokens, including total billable reasoning in output. Cache writes use supplied rates. Tools, cache storage, multimodal charges require additional items/custom rates.</t>
        </is>
      </c>
    </row>
    <row r="10">
      <c r="A10" t="inlineStr">
        <is>
          <t>Scenarios</t>
        </is>
      </c>
      <c r="B10" t="inlineStr">
        <is>
          <t>Planning assumptions, not statistical confidence intervals. Execution fields in Calculations are scenario-effective values.</t>
        </is>
      </c>
    </row>
    <row r="11">
      <c r="A11" t="inlineStr">
        <is>
          <t>Detailed workflows</t>
        </is>
      </c>
      <c r="B11" t="inlineStr">
        <is>
          <t>Each step appears in Calculations and replaces the aggregate. The Agents sheet is an aggregate import template, not a lossless backup of detailed steps.</t>
        </is>
      </c>
    </row>
    <row r="12">
      <c r="A12" t="inlineStr">
        <is>
          <t>Version</t>
        </is>
      </c>
      <c r="B12" t="inlineStr">
        <is>
          <t>Schema 1; defaults 1</t>
        </is>
      </c>
    </row>
  </sheetData>
  <autoFilter ref="A1:B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2026-09-25T21:24:20Z</dcterms:created>
  <dcterms:modified xsi:type="dcterms:W3CDTF">2026-09-25T21:24:20Z</dcterms:modified>
</cp:coreProperties>
</file>